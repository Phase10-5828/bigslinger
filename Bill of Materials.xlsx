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au-my.sharepoint.com/personal/ek0766079_sau_edu/Documents/Senior Design/"/>
    </mc:Choice>
  </mc:AlternateContent>
  <xr:revisionPtr revIDLastSave="910" documentId="8_{3617794A-2858-4974-9CE0-2F55409CEDEE}" xr6:coauthVersionLast="47" xr6:coauthVersionMax="47" xr10:uidLastSave="{75B11C1B-6D8C-4578-B27C-88DE95C849B3}"/>
  <bookViews>
    <workbookView xWindow="-110" yWindow="-110" windowWidth="25820" windowHeight="13900" activeTab="2" xr2:uid="{F13994F5-C212-4398-AE72-957F6A2E54F8}"/>
  </bookViews>
  <sheets>
    <sheet name="420mm BedSlinger BOM" sheetId="1" r:id="rId1"/>
    <sheet name="Summary" sheetId="2" r:id="rId2"/>
    <sheet name="Sourcing Links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G32" i="1"/>
  <c r="E5" i="3"/>
  <c r="E13" i="3"/>
  <c r="G31" i="1"/>
  <c r="B8" i="2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F13" i="1"/>
  <c r="G13" i="1" s="1"/>
  <c r="G12" i="1"/>
  <c r="G11" i="1"/>
  <c r="G10" i="1"/>
  <c r="G9" i="1"/>
  <c r="G8" i="1"/>
  <c r="G7" i="1"/>
  <c r="G6" i="1"/>
  <c r="G5" i="1"/>
  <c r="G4" i="1"/>
  <c r="G3" i="1"/>
  <c r="G2" i="1"/>
  <c r="G1" i="1"/>
  <c r="I2" i="3" l="1"/>
  <c r="K2" i="3" s="1"/>
  <c r="D36" i="1"/>
  <c r="D35" i="1"/>
</calcChain>
</file>

<file path=xl/sharedStrings.xml><?xml version="1.0" encoding="utf-8"?>
<sst xmlns="http://schemas.openxmlformats.org/spreadsheetml/2006/main" count="274" uniqueCount="171">
  <si>
    <t>Frame</t>
  </si>
  <si>
    <t>2040 Aluminum Extrusion (cut-to-length)</t>
  </si>
  <si>
    <t>Base/top frame + uprights. Example cut list for 500×500 bed: 8×700mm (top/bottom perimeter), 4×600mm (crossmembers), 4×500mm (uprights). Adjust to your enclosure/clearances.</t>
  </si>
  <si>
    <t>m</t>
  </si>
  <si>
    <t>Misumi/8020/Amazon</t>
  </si>
  <si>
    <t>2020 Aluminum Extrusion (bracing)</t>
  </si>
  <si>
    <t>Optional cross-bracing/gantry supports.</t>
  </si>
  <si>
    <t>Corner/Gusset Brackets for 2040</t>
  </si>
  <si>
    <t>90° angle brackets/gussets for rigidity.</t>
  </si>
  <si>
    <t>pcs</t>
  </si>
  <si>
    <t>Generic</t>
  </si>
  <si>
    <t>Internal Corner Connectors (2040)</t>
  </si>
  <si>
    <t>Optional hidden connectors; helps keep frame square.</t>
  </si>
  <si>
    <t>M5 Roll-in T-nuts (for 2040 slot)</t>
  </si>
  <si>
    <t>For brackets, panels, mounts.</t>
  </si>
  <si>
    <t>M5x10 Button Head Screws</t>
  </si>
  <si>
    <t>Use with M5 T-nuts; assorted lengths OK.</t>
  </si>
  <si>
    <t>M3 T-nuts (for 2040 slot)</t>
  </si>
  <si>
    <t>For mounting linear rails and small hardware.</t>
  </si>
  <si>
    <t>M3x8 / M3x10 Screws</t>
  </si>
  <si>
    <t>For rail mounting into M3 T-nuts.</t>
  </si>
  <si>
    <t>Motion</t>
  </si>
  <si>
    <t>Amazon</t>
  </si>
  <si>
    <t>GT2 Belts (6mm)</t>
  </si>
  <si>
    <t>X + Y belts; buy ~4m total (extra for tensioning).</t>
  </si>
  <si>
    <t>Gates / Open Pref.</t>
  </si>
  <si>
    <t>Idlers (5mm bore, 6mm belt)</t>
  </si>
  <si>
    <t>2 for X + 2 for Y (flanged/smooth as needed).</t>
  </si>
  <si>
    <t>Pulleys 20T (5mm bore)</t>
  </si>
  <si>
    <t>For X + Y motors.</t>
  </si>
  <si>
    <t>Y Carriage Plate / Bed Mount Brackets</t>
  </si>
  <si>
    <t>Aluminum plate or printed mounts to connect bed to Y rail blocks.</t>
  </si>
  <si>
    <t>set</t>
  </si>
  <si>
    <t>Leadscrews TR8x8 500mm</t>
  </si>
  <si>
    <t>Dual Z drive.</t>
  </si>
  <si>
    <t>Flexible Couplers 5mm→8mm</t>
  </si>
  <si>
    <t>Z motor to leadscrew (2× for dual Z).</t>
  </si>
  <si>
    <t>Printhead</t>
  </si>
  <si>
    <t>Electronics</t>
  </si>
  <si>
    <t>Controller Board</t>
  </si>
  <si>
    <t>BIGTREETECH Octopus 1.1/Pro</t>
  </si>
  <si>
    <t>BTT</t>
  </si>
  <si>
    <t>Stepper Drivers TMC2209</t>
  </si>
  <si>
    <t>Sensorless-capable</t>
  </si>
  <si>
    <t>BTT/Generic</t>
  </si>
  <si>
    <t>NEMA17 Stepper Motors</t>
  </si>
  <si>
    <t>40–48mm, ~1A–1.2A; X/Y/Z/Z</t>
  </si>
  <si>
    <t>LDO/StepperOnline</t>
  </si>
  <si>
    <t>Endstops/Probes</t>
  </si>
  <si>
    <t>Sensorless or microswitch; + Z probe (e.g., Klicky/Inductive)</t>
  </si>
  <si>
    <t>Raspberry Pi 4 (4GB)</t>
  </si>
  <si>
    <t>For Klipper</t>
  </si>
  <si>
    <t>Raspberry Pi</t>
  </si>
  <si>
    <t>24V PSU 250-350W</t>
  </si>
  <si>
    <t>For board + motion (500W if in Budget)</t>
  </si>
  <si>
    <t>MeanWell/Generic</t>
  </si>
  <si>
    <t>Wiring &amp; Connectors</t>
  </si>
  <si>
    <t>Ferrules, JST-XH, GX12/16 where needed (Can handle lots of movement)</t>
  </si>
  <si>
    <t>kit</t>
  </si>
  <si>
    <t>Cable Chains</t>
  </si>
  <si>
    <t>15×30mm or similar (Can be printed)</t>
  </si>
  <si>
    <t>Bed</t>
  </si>
  <si>
    <t>Cast Aluminum Plate 6061</t>
  </si>
  <si>
    <t>420×420×6–8mm, flatness critical (MIC-6 Ideal)</t>
  </si>
  <si>
    <t>Mic6/ATP-5</t>
  </si>
  <si>
    <t>Build Surface</t>
  </si>
  <si>
    <t>PEI spring steel (ideal) or glass</t>
  </si>
  <si>
    <t>PEI</t>
  </si>
  <si>
    <t>Magnet Sheet</t>
  </si>
  <si>
    <t>To connect Spring Steel to MIC6 or equivalent</t>
  </si>
  <si>
    <t>Adhesive</t>
  </si>
  <si>
    <t>TH3D / Hairspray / Bonding Adhesive</t>
  </si>
  <si>
    <t>Fasteners &amp; Misc</t>
  </si>
  <si>
    <t>Assorted M3/M4 Fasteners</t>
  </si>
  <si>
    <t>For printed parts &amp; mounts</t>
  </si>
  <si>
    <t>Vibration Isolators/Feet</t>
  </si>
  <si>
    <t>Rubber or silicone</t>
  </si>
  <si>
    <t>Tools (Tap/Die, Square, Calipers)</t>
  </si>
  <si>
    <t>Use existing tools</t>
  </si>
  <si>
    <t>Consumables</t>
  </si>
  <si>
    <t>1.75mm Filament (PLA)</t>
  </si>
  <si>
    <t>For calibration &amp; test prints</t>
  </si>
  <si>
    <t>kg</t>
  </si>
  <si>
    <t>Any</t>
  </si>
  <si>
    <t>BIQU H2 V2S Extruder</t>
  </si>
  <si>
    <t>For B1 BX Ender 3/ 3 V2/5/6 CR6/10</t>
  </si>
  <si>
    <t>BIQU</t>
  </si>
  <si>
    <t>E3D Nozzle 0.4mm</t>
  </si>
  <si>
    <t>Gross</t>
  </si>
  <si>
    <t>Net (Gross - Stock)</t>
  </si>
  <si>
    <t>500×500 CoreXY Printer — Bill of Materials</t>
  </si>
  <si>
    <t>Notes:</t>
  </si>
  <si>
    <t>• This BOM targets a large-format (500×500) CoreXY with Klipper on a BTT Octopus + Pi 4.</t>
  </si>
  <si>
    <t>• Substitute equivalent brands as available (LDO/Hiwin/MeanWell/etc.).</t>
  </si>
  <si>
    <t>Estimated Total (from BOM sheet):</t>
  </si>
  <si>
    <t>Part (Exact)</t>
  </si>
  <si>
    <t>Vendor</t>
  </si>
  <si>
    <t>URL</t>
  </si>
  <si>
    <t>Notes</t>
  </si>
  <si>
    <t>Cost (Net)</t>
  </si>
  <si>
    <t>Total Spent</t>
  </si>
  <si>
    <t>Running Total</t>
  </si>
  <si>
    <t>2040 Aluminum Extrusion V Slot Black Extruded Aluminum Profile 20x40 V-Slotted Framing European Standard Anodized Linear Rail for 3D Printer Accessories Parts CNC</t>
  </si>
  <si>
    <t>2pk 700mm + 2pk 600mm</t>
  </si>
  <si>
    <t>2020 Aluminum Extrusion V Slot Black Extruded Aluminum Profile 20x40 V-Slotted Framing European Standard Anodized Linear Rail for 3D Printer Accessories Parts CNC</t>
  </si>
  <si>
    <t>https://a.co/d/0fSrLHgP</t>
  </si>
  <si>
    <t>4pk 500mm</t>
  </si>
  <si>
    <t>https://a.co/d/hSqaVRD</t>
  </si>
  <si>
    <t>1 pk of 2 TR8x8 500mm</t>
  </si>
  <si>
    <t>BIGTREETECH Octopus Pro V1.1 (H723)</t>
  </si>
  <si>
    <t>https://a.co/d/0dD2kIoN</t>
  </si>
  <si>
    <t>TMC2209</t>
  </si>
  <si>
    <t>^ (Bundled with controller)</t>
  </si>
  <si>
    <t>GT2 Idler Pulley 20T 5mm Bore</t>
  </si>
  <si>
    <t>https://a.co/d/99T3vvZ</t>
  </si>
  <si>
    <t>1 pk</t>
  </si>
  <si>
    <t>GT2 Idler Toothless 5mm Bore</t>
  </si>
  <si>
    <t>https://a.co/d/icyfPhk</t>
  </si>
  <si>
    <t>GT2 Timing Belt</t>
  </si>
  <si>
    <t>https://a.co/d/fZ9PGss</t>
  </si>
  <si>
    <t>10m</t>
  </si>
  <si>
    <t>John Deere</t>
  </si>
  <si>
    <t>Donation</t>
  </si>
  <si>
    <t>4 pcs</t>
  </si>
  <si>
    <t>Flexible Coupling 5mm to 8mm</t>
  </si>
  <si>
    <t>https://a.co/d/fssSG3j</t>
  </si>
  <si>
    <t>https://a.co/d/0hjlbD0f</t>
  </si>
  <si>
    <t>1 kit</t>
  </si>
  <si>
    <t>https://a.co/d/0fH9h1cw</t>
  </si>
  <si>
    <t xml:space="preserve">1 kit </t>
  </si>
  <si>
    <t>Ebay</t>
  </si>
  <si>
    <t>E3D</t>
  </si>
  <si>
    <t xml:space="preserve">Misc. </t>
  </si>
  <si>
    <t>Ethernet cord</t>
  </si>
  <si>
    <t>Cat 5E or better</t>
  </si>
  <si>
    <t>7ft</t>
  </si>
  <si>
    <t>ft</t>
  </si>
  <si>
    <t>fork or ring crimps</t>
  </si>
  <si>
    <t>USBC to USBA</t>
  </si>
  <si>
    <t>4-Pin JST-XH to 6-Pin PH2.0 Cables</t>
  </si>
  <si>
    <t>22AWG 4-Core Shielded Cable</t>
  </si>
  <si>
    <t>MicroSD chip 32 g</t>
  </si>
  <si>
    <t>32  g</t>
  </si>
  <si>
    <t>MicroSD chip 32 gig</t>
  </si>
  <si>
    <t>1 pcs</t>
  </si>
  <si>
    <t>https://www.ebay.com/itm/376868056094</t>
  </si>
  <si>
    <t>Micro USB power cord(with brick)</t>
  </si>
  <si>
    <t>14 AWG standard wire</t>
  </si>
  <si>
    <t>USBA to C</t>
  </si>
  <si>
    <t>420x430mm</t>
  </si>
  <si>
    <t>Aluminum Plate</t>
  </si>
  <si>
    <t>https://www.amazon.com/gp/product/B09QPG7XGR/ref=ox_sc_act_title_delete_1?smid=A14COELW35RHNN&amp;psc=1</t>
  </si>
  <si>
    <t>Wheels/Bearings</t>
  </si>
  <si>
    <t>2 x 10pk</t>
  </si>
  <si>
    <t>1pc 16.54x16.54x1/4"</t>
  </si>
  <si>
    <t>Zander has email invoice</t>
  </si>
  <si>
    <t>https://a.co/d/0cwUVuu9</t>
  </si>
  <si>
    <t>1pk (1400pcs)</t>
  </si>
  <si>
    <t>Glass Plate</t>
  </si>
  <si>
    <t>M4 Bolts, Nuts, Washers</t>
  </si>
  <si>
    <t>TMC5160T Plus Stepper Driver (Nema 23)</t>
  </si>
  <si>
    <t>https://a.co/d/06Qe8RLO</t>
  </si>
  <si>
    <t>Nema 23 Stepper Motor</t>
  </si>
  <si>
    <t>https://a.co/d/0gR60Tf0</t>
  </si>
  <si>
    <t>1x</t>
  </si>
  <si>
    <t>GT2 Pully 8mm Bore (Nema 23)</t>
  </si>
  <si>
    <t>https://a.co/d/0itqho1u</t>
  </si>
  <si>
    <t>10x20T Bore 8mm</t>
  </si>
  <si>
    <t>Remaining Budget</t>
  </si>
  <si>
    <t>Steve's Mirror &amp; Glass</t>
  </si>
  <si>
    <t>Local Glass 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</si>
</sst>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\$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31">
    <xf numFmtId="0" fontId="0" fillId="0" borderId="0" xfId="0"/>
    <xf numFmtId="44" fontId="0" fillId="0" borderId="0" xfId="1" applyFont="1"/>
    <xf numFmtId="0" fontId="0" fillId="0" borderId="1" xfId="0" applyBorder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0" xfId="0" applyFont="1"/>
    <xf numFmtId="164" fontId="0" fillId="0" borderId="0" xfId="0" applyNumberFormat="1"/>
    <xf numFmtId="0" fontId="3" fillId="2" borderId="0" xfId="0" applyFont="1" applyFill="1"/>
    <xf numFmtId="0" fontId="2" fillId="0" borderId="0" xfId="0" applyFont="1"/>
    <xf numFmtId="44" fontId="1" fillId="0" borderId="0" xfId="1" applyFont="1"/>
    <xf numFmtId="0" fontId="5" fillId="0" borderId="0" xfId="2"/>
    <xf numFmtId="44" fontId="0" fillId="0" borderId="0" xfId="0" applyNumberFormat="1"/>
    <xf numFmtId="0" fontId="0" fillId="3" borderId="1" xfId="0" applyFill="1" applyBorder="1"/>
    <xf numFmtId="0" fontId="0" fillId="3" borderId="2" xfId="0" applyFill="1" applyBorder="1"/>
    <xf numFmtId="0" fontId="0" fillId="3" borderId="0" xfId="0" applyFill="1"/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wrapText="1"/>
    </xf>
    <xf numFmtId="44" fontId="0" fillId="3" borderId="1" xfId="1" applyFont="1" applyFill="1" applyBorder="1"/>
    <xf numFmtId="44" fontId="0" fillId="0" borderId="1" xfId="1" applyFont="1" applyFill="1" applyBorder="1"/>
    <xf numFmtId="164" fontId="0" fillId="0" borderId="1" xfId="0" applyNumberFormat="1" applyBorder="1"/>
    <xf numFmtId="0" fontId="5" fillId="0" borderId="0" xfId="2" applyFill="1"/>
    <xf numFmtId="0" fontId="0" fillId="4" borderId="0" xfId="0" applyFill="1"/>
    <xf numFmtId="0" fontId="0" fillId="4" borderId="1" xfId="0" applyFill="1" applyBorder="1"/>
    <xf numFmtId="44" fontId="0" fillId="3" borderId="0" xfId="1" applyFont="1" applyFill="1"/>
    <xf numFmtId="44" fontId="0" fillId="0" borderId="1" xfId="1" applyFont="1" applyBorder="1"/>
    <xf numFmtId="44" fontId="0" fillId="4" borderId="1" xfId="1" applyFont="1" applyFill="1" applyBorder="1"/>
    <xf numFmtId="44" fontId="0" fillId="3" borderId="2" xfId="1" applyFont="1" applyFill="1" applyBorder="1"/>
    <xf numFmtId="44" fontId="0" fillId="0" borderId="0" xfId="1" applyFont="1" applyFill="1"/>
    <xf numFmtId="44" fontId="0" fillId="3" borderId="0" xfId="1" applyFont="1" applyFill="1" applyBorder="1"/>
    <xf numFmtId="0" fontId="0" fillId="5" borderId="0" xfId="0" applyFill="1"/>
    <xf numFmtId="0" fontId="0" fillId="5" borderId="1" xfId="0" applyFill="1" applyBorder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u-my.sharepoint.com/personal/ek0766079_sau_edu/Documents/Senior%20Design/CoreXY_500mm_BOM.xlsx" TargetMode="External"/><Relationship Id="rId1" Type="http://schemas.openxmlformats.org/officeDocument/2006/relationships/externalLinkPath" Target="CoreXY_500mm_B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500mm CoreXY BOM"/>
      <sheetName val="Summary"/>
      <sheetName val="Sourcing Links"/>
    </sheetNames>
    <sheetDataSet>
      <sheetData sheetId="0">
        <row r="32">
          <cell r="G32">
            <v>1106</v>
          </cell>
        </row>
      </sheetData>
      <sheetData sheetId="1"/>
      <sheetData sheetId="2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a.co/d/08ZHIPNN" TargetMode="External"/><Relationship Id="rId13" Type="http://schemas.openxmlformats.org/officeDocument/2006/relationships/hyperlink" Target="https://a.co/d/0cwUVuu9" TargetMode="External"/><Relationship Id="rId3" Type="http://schemas.openxmlformats.org/officeDocument/2006/relationships/hyperlink" Target="https://a.co/d/icyfPhk" TargetMode="External"/><Relationship Id="rId7" Type="http://schemas.openxmlformats.org/officeDocument/2006/relationships/hyperlink" Target="https://a.co/d/0fSrLHgP" TargetMode="External"/><Relationship Id="rId12" Type="http://schemas.openxmlformats.org/officeDocument/2006/relationships/hyperlink" Target="https://www.ebay.com/itm/376868056094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https://a.co/d/99T3vvZ" TargetMode="External"/><Relationship Id="rId16" Type="http://schemas.openxmlformats.org/officeDocument/2006/relationships/hyperlink" Target="https://a.co/d/0itqho1u" TargetMode="External"/><Relationship Id="rId1" Type="http://schemas.openxmlformats.org/officeDocument/2006/relationships/hyperlink" Target="https://a.co/d/hSqaVRD" TargetMode="External"/><Relationship Id="rId6" Type="http://schemas.openxmlformats.org/officeDocument/2006/relationships/hyperlink" Target="https://a.co/d/0hjlbD0f" TargetMode="External"/><Relationship Id="rId11" Type="http://schemas.openxmlformats.org/officeDocument/2006/relationships/hyperlink" Target="https://a.co/d/07BO5tlY" TargetMode="External"/><Relationship Id="rId5" Type="http://schemas.openxmlformats.org/officeDocument/2006/relationships/hyperlink" Target="https://a.co/d/fssSG3j" TargetMode="External"/><Relationship Id="rId15" Type="http://schemas.openxmlformats.org/officeDocument/2006/relationships/hyperlink" Target="https://a.co/d/0gR60Tf0" TargetMode="External"/><Relationship Id="rId10" Type="http://schemas.openxmlformats.org/officeDocument/2006/relationships/hyperlink" Target="https://a.co/d/0dD2kIoN" TargetMode="External"/><Relationship Id="rId4" Type="http://schemas.openxmlformats.org/officeDocument/2006/relationships/hyperlink" Target="https://a.co/d/fZ9PGss" TargetMode="External"/><Relationship Id="rId9" Type="http://schemas.openxmlformats.org/officeDocument/2006/relationships/hyperlink" Target="https://a.co/d/0fH9h1cw" TargetMode="External"/><Relationship Id="rId14" Type="http://schemas.openxmlformats.org/officeDocument/2006/relationships/hyperlink" Target="https://a.co/d/06Qe8RL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2629E-CC64-426A-96AE-F4D362934D94}">
  <dimension ref="A1:I47"/>
  <sheetViews>
    <sheetView topLeftCell="A19" workbookViewId="0">
      <selection activeCell="C50" sqref="C50"/>
    </sheetView>
  </sheetViews>
  <sheetFormatPr defaultRowHeight="14.5" x14ac:dyDescent="0.35"/>
  <cols>
    <col min="1" max="1" width="18.1796875" customWidth="1"/>
    <col min="2" max="2" width="28.81640625" bestFit="1" customWidth="1"/>
    <col min="3" max="3" width="59.26953125" bestFit="1" customWidth="1"/>
    <col min="4" max="4" width="10.26953125" bestFit="1" customWidth="1"/>
    <col min="6" max="6" width="13.81640625" bestFit="1" customWidth="1"/>
    <col min="7" max="7" width="13.453125" bestFit="1" customWidth="1"/>
    <col min="8" max="8" width="22.1796875" bestFit="1" customWidth="1"/>
  </cols>
  <sheetData>
    <row r="1" spans="1:9" ht="43.5" x14ac:dyDescent="0.35">
      <c r="A1" s="13" t="s">
        <v>0</v>
      </c>
      <c r="B1" s="13" t="s">
        <v>1</v>
      </c>
      <c r="C1" s="15" t="s">
        <v>2</v>
      </c>
      <c r="D1" s="13">
        <v>10</v>
      </c>
      <c r="E1" s="13" t="s">
        <v>3</v>
      </c>
      <c r="F1" s="23">
        <v>15</v>
      </c>
      <c r="G1" s="23">
        <f t="shared" ref="G1:G14" si="0">F1*D1</f>
        <v>150</v>
      </c>
      <c r="H1" s="13" t="s">
        <v>4</v>
      </c>
      <c r="I1" s="3" t="b">
        <v>0</v>
      </c>
    </row>
    <row r="2" spans="1:9" x14ac:dyDescent="0.35">
      <c r="A2" s="13" t="s">
        <v>0</v>
      </c>
      <c r="B2" s="13" t="s">
        <v>5</v>
      </c>
      <c r="C2" s="15" t="s">
        <v>6</v>
      </c>
      <c r="D2" s="13">
        <v>4</v>
      </c>
      <c r="E2" s="13" t="s">
        <v>3</v>
      </c>
      <c r="F2" s="23">
        <v>10</v>
      </c>
      <c r="G2" s="23">
        <f t="shared" si="0"/>
        <v>40</v>
      </c>
      <c r="H2" s="13" t="s">
        <v>4</v>
      </c>
      <c r="I2" s="3" t="b">
        <v>0</v>
      </c>
    </row>
    <row r="3" spans="1:9" x14ac:dyDescent="0.35">
      <c r="A3" s="13" t="s">
        <v>0</v>
      </c>
      <c r="B3" s="13" t="s">
        <v>7</v>
      </c>
      <c r="C3" s="15" t="s">
        <v>8</v>
      </c>
      <c r="D3" s="13">
        <v>24</v>
      </c>
      <c r="E3" s="13" t="s">
        <v>9</v>
      </c>
      <c r="F3" s="23">
        <v>1.5</v>
      </c>
      <c r="G3" s="23">
        <f t="shared" si="0"/>
        <v>36</v>
      </c>
      <c r="H3" s="13" t="s">
        <v>10</v>
      </c>
      <c r="I3" s="3" t="b">
        <v>0</v>
      </c>
    </row>
    <row r="4" spans="1:9" x14ac:dyDescent="0.35">
      <c r="A4" s="13" t="s">
        <v>0</v>
      </c>
      <c r="B4" s="13" t="s">
        <v>11</v>
      </c>
      <c r="C4" s="15" t="s">
        <v>12</v>
      </c>
      <c r="D4" s="13">
        <v>16</v>
      </c>
      <c r="E4" s="13" t="s">
        <v>9</v>
      </c>
      <c r="F4" s="23">
        <v>1</v>
      </c>
      <c r="G4" s="23">
        <f t="shared" si="0"/>
        <v>16</v>
      </c>
      <c r="H4" s="13" t="s">
        <v>10</v>
      </c>
      <c r="I4" s="3" t="b">
        <v>0</v>
      </c>
    </row>
    <row r="5" spans="1:9" x14ac:dyDescent="0.35">
      <c r="A5" s="13" t="s">
        <v>0</v>
      </c>
      <c r="B5" s="13" t="s">
        <v>13</v>
      </c>
      <c r="C5" s="15" t="s">
        <v>14</v>
      </c>
      <c r="D5" s="13">
        <v>100</v>
      </c>
      <c r="E5" s="13" t="s">
        <v>9</v>
      </c>
      <c r="F5" s="23">
        <v>0.12</v>
      </c>
      <c r="G5" s="23">
        <f t="shared" si="0"/>
        <v>12</v>
      </c>
      <c r="H5" s="13" t="s">
        <v>10</v>
      </c>
      <c r="I5" s="3" t="b">
        <v>0</v>
      </c>
    </row>
    <row r="6" spans="1:9" x14ac:dyDescent="0.35">
      <c r="A6" t="s">
        <v>0</v>
      </c>
      <c r="B6" t="s">
        <v>15</v>
      </c>
      <c r="C6" s="14" t="s">
        <v>16</v>
      </c>
      <c r="D6">
        <v>200</v>
      </c>
      <c r="E6" t="s">
        <v>9</v>
      </c>
      <c r="F6" s="1">
        <v>0.08</v>
      </c>
      <c r="G6" s="1">
        <f t="shared" si="0"/>
        <v>16</v>
      </c>
      <c r="H6" t="s">
        <v>10</v>
      </c>
      <c r="I6" s="3" t="b">
        <v>1</v>
      </c>
    </row>
    <row r="7" spans="1:9" x14ac:dyDescent="0.35">
      <c r="A7" t="s">
        <v>0</v>
      </c>
      <c r="B7" t="s">
        <v>17</v>
      </c>
      <c r="C7" s="14" t="s">
        <v>18</v>
      </c>
      <c r="D7">
        <v>120</v>
      </c>
      <c r="E7" t="s">
        <v>9</v>
      </c>
      <c r="F7" s="1">
        <v>0.1</v>
      </c>
      <c r="G7" s="1">
        <f t="shared" si="0"/>
        <v>12</v>
      </c>
      <c r="H7" t="s">
        <v>10</v>
      </c>
      <c r="I7" s="3" t="b">
        <v>1</v>
      </c>
    </row>
    <row r="8" spans="1:9" x14ac:dyDescent="0.35">
      <c r="A8" t="s">
        <v>0</v>
      </c>
      <c r="B8" t="s">
        <v>19</v>
      </c>
      <c r="C8" s="14" t="s">
        <v>20</v>
      </c>
      <c r="D8">
        <v>120</v>
      </c>
      <c r="E8" t="s">
        <v>9</v>
      </c>
      <c r="F8" s="1">
        <v>0.05</v>
      </c>
      <c r="G8" s="1">
        <f t="shared" si="0"/>
        <v>6</v>
      </c>
      <c r="H8" t="s">
        <v>10</v>
      </c>
      <c r="I8" s="3" t="b">
        <v>1</v>
      </c>
    </row>
    <row r="9" spans="1:9" x14ac:dyDescent="0.35">
      <c r="A9" s="13" t="s">
        <v>21</v>
      </c>
      <c r="B9" s="13" t="s">
        <v>23</v>
      </c>
      <c r="C9" s="15" t="s">
        <v>24</v>
      </c>
      <c r="D9" s="13">
        <v>4</v>
      </c>
      <c r="E9" s="13" t="s">
        <v>3</v>
      </c>
      <c r="F9" s="23">
        <v>2</v>
      </c>
      <c r="G9" s="1">
        <f t="shared" si="0"/>
        <v>8</v>
      </c>
      <c r="H9" t="s">
        <v>25</v>
      </c>
      <c r="I9" s="3" t="b">
        <v>0</v>
      </c>
    </row>
    <row r="10" spans="1:9" x14ac:dyDescent="0.35">
      <c r="A10" s="13" t="s">
        <v>21</v>
      </c>
      <c r="B10" s="13" t="s">
        <v>26</v>
      </c>
      <c r="C10" s="15" t="s">
        <v>27</v>
      </c>
      <c r="D10" s="13">
        <v>4</v>
      </c>
      <c r="E10" s="13" t="s">
        <v>9</v>
      </c>
      <c r="F10" s="1">
        <v>2.5</v>
      </c>
      <c r="G10" s="1">
        <f t="shared" si="0"/>
        <v>10</v>
      </c>
      <c r="H10" t="s">
        <v>10</v>
      </c>
      <c r="I10" s="3" t="b">
        <v>0</v>
      </c>
    </row>
    <row r="11" spans="1:9" x14ac:dyDescent="0.35">
      <c r="A11" s="13" t="s">
        <v>21</v>
      </c>
      <c r="B11" s="13" t="s">
        <v>28</v>
      </c>
      <c r="C11" s="15" t="s">
        <v>29</v>
      </c>
      <c r="D11" s="13">
        <v>2</v>
      </c>
      <c r="E11" s="13" t="s">
        <v>9</v>
      </c>
      <c r="F11" s="23">
        <v>2.5</v>
      </c>
      <c r="G11" s="23">
        <f t="shared" si="0"/>
        <v>5</v>
      </c>
      <c r="H11" s="13" t="s">
        <v>10</v>
      </c>
      <c r="I11" s="3" t="b">
        <v>0</v>
      </c>
    </row>
    <row r="12" spans="1:9" x14ac:dyDescent="0.35">
      <c r="A12" t="s">
        <v>21</v>
      </c>
      <c r="B12" t="s">
        <v>30</v>
      </c>
      <c r="C12" s="14" t="s">
        <v>31</v>
      </c>
      <c r="D12">
        <v>1</v>
      </c>
      <c r="E12" t="s">
        <v>32</v>
      </c>
      <c r="F12" s="27">
        <v>35</v>
      </c>
      <c r="G12" s="27">
        <f t="shared" si="0"/>
        <v>35</v>
      </c>
      <c r="H12" t="s">
        <v>10</v>
      </c>
      <c r="I12" s="3" t="b">
        <v>1</v>
      </c>
    </row>
    <row r="13" spans="1:9" x14ac:dyDescent="0.35">
      <c r="A13" s="13" t="s">
        <v>21</v>
      </c>
      <c r="B13" s="13" t="s">
        <v>33</v>
      </c>
      <c r="C13" s="15" t="s">
        <v>34</v>
      </c>
      <c r="D13" s="13">
        <v>1</v>
      </c>
      <c r="E13" s="13" t="s">
        <v>9</v>
      </c>
      <c r="F13" s="23">
        <f>37.23/2</f>
        <v>18.614999999999998</v>
      </c>
      <c r="G13" s="23">
        <f t="shared" si="0"/>
        <v>18.614999999999998</v>
      </c>
      <c r="H13" s="13" t="s">
        <v>10</v>
      </c>
      <c r="I13" s="3" t="b">
        <v>0</v>
      </c>
    </row>
    <row r="14" spans="1:9" x14ac:dyDescent="0.35">
      <c r="A14" s="13" t="s">
        <v>21</v>
      </c>
      <c r="B14" s="13" t="s">
        <v>35</v>
      </c>
      <c r="C14" s="15" t="s">
        <v>36</v>
      </c>
      <c r="D14" s="13">
        <v>2</v>
      </c>
      <c r="E14" s="13" t="s">
        <v>9</v>
      </c>
      <c r="F14" s="23">
        <v>3</v>
      </c>
      <c r="G14" s="1">
        <f t="shared" si="0"/>
        <v>6</v>
      </c>
      <c r="H14" t="s">
        <v>10</v>
      </c>
      <c r="I14" s="3" t="b">
        <v>0</v>
      </c>
    </row>
    <row r="15" spans="1:9" x14ac:dyDescent="0.35">
      <c r="A15" s="11" t="s">
        <v>38</v>
      </c>
      <c r="B15" s="11" t="s">
        <v>39</v>
      </c>
      <c r="C15" s="11" t="s">
        <v>40</v>
      </c>
      <c r="D15" s="11">
        <v>1</v>
      </c>
      <c r="E15" s="11" t="s">
        <v>9</v>
      </c>
      <c r="F15" s="17">
        <v>75</v>
      </c>
      <c r="G15" s="17">
        <f t="shared" ref="G15:G32" si="1">F15*D15</f>
        <v>75</v>
      </c>
      <c r="H15" s="11" t="s">
        <v>41</v>
      </c>
      <c r="I15" s="3" t="b">
        <v>0</v>
      </c>
    </row>
    <row r="16" spans="1:9" x14ac:dyDescent="0.35">
      <c r="A16" s="11" t="s">
        <v>38</v>
      </c>
      <c r="B16" s="11" t="s">
        <v>42</v>
      </c>
      <c r="C16" s="11" t="s">
        <v>43</v>
      </c>
      <c r="D16" s="11">
        <v>6</v>
      </c>
      <c r="E16" s="11" t="s">
        <v>9</v>
      </c>
      <c r="F16" s="17">
        <v>7.5</v>
      </c>
      <c r="G16" s="17">
        <f t="shared" si="1"/>
        <v>45</v>
      </c>
      <c r="H16" s="11" t="s">
        <v>44</v>
      </c>
      <c r="I16" s="3" t="b">
        <v>0</v>
      </c>
    </row>
    <row r="17" spans="1:9" x14ac:dyDescent="0.35">
      <c r="A17" s="22" t="s">
        <v>38</v>
      </c>
      <c r="B17" s="22" t="s">
        <v>45</v>
      </c>
      <c r="C17" s="22" t="s">
        <v>46</v>
      </c>
      <c r="D17" s="22">
        <v>4</v>
      </c>
      <c r="E17" s="22" t="s">
        <v>9</v>
      </c>
      <c r="F17" s="25">
        <v>18</v>
      </c>
      <c r="G17" s="25">
        <f t="shared" si="1"/>
        <v>72</v>
      </c>
      <c r="H17" s="22" t="s">
        <v>47</v>
      </c>
      <c r="I17" s="3" t="b">
        <v>1</v>
      </c>
    </row>
    <row r="18" spans="1:9" x14ac:dyDescent="0.35">
      <c r="A18" s="22" t="s">
        <v>38</v>
      </c>
      <c r="B18" s="22" t="s">
        <v>48</v>
      </c>
      <c r="C18" s="22" t="s">
        <v>49</v>
      </c>
      <c r="D18" s="22">
        <v>3</v>
      </c>
      <c r="E18" s="22" t="s">
        <v>9</v>
      </c>
      <c r="F18" s="25">
        <v>6</v>
      </c>
      <c r="G18" s="25">
        <f t="shared" si="1"/>
        <v>18</v>
      </c>
      <c r="H18" s="22" t="s">
        <v>10</v>
      </c>
      <c r="I18" s="3" t="b">
        <v>1</v>
      </c>
    </row>
    <row r="19" spans="1:9" x14ac:dyDescent="0.35">
      <c r="A19" s="22" t="s">
        <v>38</v>
      </c>
      <c r="B19" s="22" t="s">
        <v>50</v>
      </c>
      <c r="C19" s="22" t="s">
        <v>51</v>
      </c>
      <c r="D19" s="22">
        <v>1</v>
      </c>
      <c r="E19" s="22" t="s">
        <v>9</v>
      </c>
      <c r="F19" s="25">
        <v>65</v>
      </c>
      <c r="G19" s="25">
        <f t="shared" si="1"/>
        <v>65</v>
      </c>
      <c r="H19" s="22" t="s">
        <v>52</v>
      </c>
      <c r="I19" s="3" t="b">
        <v>1</v>
      </c>
    </row>
    <row r="20" spans="1:9" x14ac:dyDescent="0.35">
      <c r="A20" s="22" t="s">
        <v>38</v>
      </c>
      <c r="B20" s="22" t="s">
        <v>53</v>
      </c>
      <c r="C20" s="22" t="s">
        <v>54</v>
      </c>
      <c r="D20" s="22">
        <v>1</v>
      </c>
      <c r="E20" s="22" t="s">
        <v>9</v>
      </c>
      <c r="F20" s="25">
        <v>48</v>
      </c>
      <c r="G20" s="25">
        <f t="shared" si="1"/>
        <v>48</v>
      </c>
      <c r="H20" s="22" t="s">
        <v>55</v>
      </c>
      <c r="I20" s="3" t="b">
        <v>1</v>
      </c>
    </row>
    <row r="21" spans="1:9" x14ac:dyDescent="0.35">
      <c r="A21" s="2" t="s">
        <v>38</v>
      </c>
      <c r="B21" s="2" t="s">
        <v>56</v>
      </c>
      <c r="C21" s="2" t="s">
        <v>57</v>
      </c>
      <c r="D21" s="2">
        <v>1</v>
      </c>
      <c r="E21" s="2" t="s">
        <v>58</v>
      </c>
      <c r="F21" s="24">
        <v>25</v>
      </c>
      <c r="G21" s="24">
        <f t="shared" si="1"/>
        <v>25</v>
      </c>
      <c r="H21" s="2" t="s">
        <v>10</v>
      </c>
      <c r="I21" s="3" t="b">
        <v>0</v>
      </c>
    </row>
    <row r="22" spans="1:9" x14ac:dyDescent="0.35">
      <c r="A22" s="2" t="s">
        <v>38</v>
      </c>
      <c r="B22" s="2" t="s">
        <v>59</v>
      </c>
      <c r="C22" s="2" t="s">
        <v>60</v>
      </c>
      <c r="D22" s="2">
        <v>2</v>
      </c>
      <c r="E22" s="2" t="s">
        <v>9</v>
      </c>
      <c r="F22" s="24">
        <v>7</v>
      </c>
      <c r="G22" s="24">
        <f t="shared" si="1"/>
        <v>14</v>
      </c>
      <c r="H22" s="2" t="s">
        <v>10</v>
      </c>
      <c r="I22" s="3" t="b">
        <v>0</v>
      </c>
    </row>
    <row r="23" spans="1:9" x14ac:dyDescent="0.35">
      <c r="A23" s="11" t="s">
        <v>61</v>
      </c>
      <c r="B23" s="11" t="s">
        <v>62</v>
      </c>
      <c r="C23" s="11" t="s">
        <v>63</v>
      </c>
      <c r="D23" s="11">
        <v>1</v>
      </c>
      <c r="E23" s="11" t="s">
        <v>9</v>
      </c>
      <c r="F23" s="17">
        <v>85</v>
      </c>
      <c r="G23" s="17">
        <f t="shared" si="1"/>
        <v>85</v>
      </c>
      <c r="H23" s="11" t="s">
        <v>64</v>
      </c>
      <c r="I23" s="3" t="b">
        <v>0</v>
      </c>
    </row>
    <row r="24" spans="1:9" x14ac:dyDescent="0.35">
      <c r="A24" s="11" t="s">
        <v>61</v>
      </c>
      <c r="B24" s="11" t="s">
        <v>65</v>
      </c>
      <c r="C24" s="11" t="s">
        <v>66</v>
      </c>
      <c r="D24" s="11">
        <v>1</v>
      </c>
      <c r="E24" s="11" t="s">
        <v>9</v>
      </c>
      <c r="F24" s="17">
        <v>78.55</v>
      </c>
      <c r="G24" s="17">
        <f t="shared" si="1"/>
        <v>78.55</v>
      </c>
      <c r="H24" s="11" t="s">
        <v>67</v>
      </c>
      <c r="I24" s="3" t="b">
        <v>0</v>
      </c>
    </row>
    <row r="25" spans="1:9" x14ac:dyDescent="0.35">
      <c r="A25" s="12" t="s">
        <v>61</v>
      </c>
      <c r="B25" s="12" t="s">
        <v>68</v>
      </c>
      <c r="C25" s="12" t="s">
        <v>69</v>
      </c>
      <c r="D25" s="12">
        <v>1</v>
      </c>
      <c r="E25" s="12" t="s">
        <v>9</v>
      </c>
      <c r="F25" s="26">
        <v>31.05</v>
      </c>
      <c r="G25" s="17">
        <f t="shared" si="1"/>
        <v>31.05</v>
      </c>
      <c r="H25" s="12" t="s">
        <v>10</v>
      </c>
      <c r="I25" s="3" t="b">
        <v>0</v>
      </c>
    </row>
    <row r="26" spans="1:9" x14ac:dyDescent="0.35">
      <c r="A26" s="12" t="s">
        <v>61</v>
      </c>
      <c r="B26" s="12" t="s">
        <v>70</v>
      </c>
      <c r="C26" s="12" t="s">
        <v>71</v>
      </c>
      <c r="D26" s="12">
        <v>1</v>
      </c>
      <c r="E26" s="12" t="s">
        <v>9</v>
      </c>
      <c r="F26" s="26">
        <v>20</v>
      </c>
      <c r="G26" s="17">
        <f t="shared" si="1"/>
        <v>20</v>
      </c>
      <c r="H26" s="12" t="s">
        <v>10</v>
      </c>
      <c r="I26" s="3" t="b">
        <v>0</v>
      </c>
    </row>
    <row r="27" spans="1:9" x14ac:dyDescent="0.35">
      <c r="A27" s="2" t="s">
        <v>72</v>
      </c>
      <c r="B27" s="2" t="s">
        <v>73</v>
      </c>
      <c r="C27" s="2" t="s">
        <v>74</v>
      </c>
      <c r="D27" s="2">
        <v>1</v>
      </c>
      <c r="E27" s="2" t="s">
        <v>58</v>
      </c>
      <c r="F27" s="24">
        <v>18</v>
      </c>
      <c r="G27" s="24">
        <f t="shared" si="1"/>
        <v>18</v>
      </c>
      <c r="H27" s="2" t="s">
        <v>10</v>
      </c>
      <c r="I27" s="3" t="b">
        <v>0</v>
      </c>
    </row>
    <row r="28" spans="1:9" x14ac:dyDescent="0.35">
      <c r="A28" s="2" t="s">
        <v>72</v>
      </c>
      <c r="B28" s="2" t="s">
        <v>75</v>
      </c>
      <c r="C28" s="2" t="s">
        <v>76</v>
      </c>
      <c r="D28" s="2">
        <v>4</v>
      </c>
      <c r="E28" s="2" t="s">
        <v>9</v>
      </c>
      <c r="F28" s="24">
        <v>2</v>
      </c>
      <c r="G28" s="24">
        <f t="shared" si="1"/>
        <v>8</v>
      </c>
      <c r="H28" s="2" t="s">
        <v>10</v>
      </c>
      <c r="I28" s="3" t="b">
        <v>0</v>
      </c>
    </row>
    <row r="29" spans="1:9" x14ac:dyDescent="0.35">
      <c r="A29" s="2" t="s">
        <v>72</v>
      </c>
      <c r="B29" s="2" t="s">
        <v>77</v>
      </c>
      <c r="C29" s="2" t="s">
        <v>78</v>
      </c>
      <c r="D29" s="2">
        <v>1</v>
      </c>
      <c r="E29" s="2" t="s">
        <v>32</v>
      </c>
      <c r="F29" s="24">
        <v>35</v>
      </c>
      <c r="G29" s="24">
        <f t="shared" si="1"/>
        <v>35</v>
      </c>
      <c r="H29" s="2" t="s">
        <v>10</v>
      </c>
      <c r="I29" s="3" t="b">
        <v>1</v>
      </c>
    </row>
    <row r="30" spans="1:9" x14ac:dyDescent="0.35">
      <c r="A30" s="22" t="s">
        <v>79</v>
      </c>
      <c r="B30" s="22" t="s">
        <v>80</v>
      </c>
      <c r="C30" s="22" t="s">
        <v>81</v>
      </c>
      <c r="D30" s="22">
        <v>1</v>
      </c>
      <c r="E30" s="22" t="s">
        <v>82</v>
      </c>
      <c r="F30" s="25">
        <v>20</v>
      </c>
      <c r="G30" s="25">
        <f t="shared" si="1"/>
        <v>20</v>
      </c>
      <c r="H30" s="22" t="s">
        <v>83</v>
      </c>
      <c r="I30" s="3" t="b">
        <v>1</v>
      </c>
    </row>
    <row r="31" spans="1:9" x14ac:dyDescent="0.35">
      <c r="A31" s="12" t="s">
        <v>37</v>
      </c>
      <c r="B31" s="12" t="s">
        <v>84</v>
      </c>
      <c r="C31" s="12" t="s">
        <v>85</v>
      </c>
      <c r="D31" s="12">
        <v>1</v>
      </c>
      <c r="E31" s="12" t="s">
        <v>9</v>
      </c>
      <c r="F31" s="26">
        <v>58.99</v>
      </c>
      <c r="G31" s="26">
        <f t="shared" si="1"/>
        <v>58.99</v>
      </c>
      <c r="H31" s="12" t="s">
        <v>86</v>
      </c>
      <c r="I31" s="3" t="b">
        <v>0</v>
      </c>
    </row>
    <row r="32" spans="1:9" x14ac:dyDescent="0.35">
      <c r="A32" s="12" t="s">
        <v>37</v>
      </c>
      <c r="B32" s="12" t="s">
        <v>87</v>
      </c>
      <c r="C32" s="12" t="s">
        <v>131</v>
      </c>
      <c r="D32" s="13">
        <v>1</v>
      </c>
      <c r="E32" s="13" t="s">
        <v>9</v>
      </c>
      <c r="F32" s="23">
        <v>5</v>
      </c>
      <c r="G32" s="23">
        <f t="shared" si="1"/>
        <v>5</v>
      </c>
      <c r="H32" s="13"/>
      <c r="I32" s="3" t="b">
        <v>1</v>
      </c>
    </row>
    <row r="33" spans="1:9" x14ac:dyDescent="0.35">
      <c r="A33" s="12" t="s">
        <v>132</v>
      </c>
      <c r="B33" s="12" t="s">
        <v>133</v>
      </c>
      <c r="C33" s="12" t="s">
        <v>134</v>
      </c>
      <c r="D33" s="13">
        <v>7</v>
      </c>
      <c r="E33" s="13" t="s">
        <v>136</v>
      </c>
      <c r="F33" s="23">
        <v>3.39</v>
      </c>
      <c r="G33" s="23">
        <v>3.39</v>
      </c>
      <c r="H33" s="13"/>
      <c r="I33" s="3" t="b">
        <v>0</v>
      </c>
    </row>
    <row r="34" spans="1:9" x14ac:dyDescent="0.35">
      <c r="A34" s="12" t="s">
        <v>132</v>
      </c>
      <c r="B34" s="12" t="s">
        <v>141</v>
      </c>
      <c r="C34" s="12" t="s">
        <v>142</v>
      </c>
      <c r="D34" s="13">
        <v>1</v>
      </c>
      <c r="E34" s="13" t="s">
        <v>9</v>
      </c>
      <c r="F34" s="28">
        <v>21.85</v>
      </c>
      <c r="G34">
        <v>21.85</v>
      </c>
    </row>
    <row r="35" spans="1:9" x14ac:dyDescent="0.35">
      <c r="C35" s="7" t="s">
        <v>88</v>
      </c>
      <c r="D35" s="1">
        <f>SUM(G1:G30)</f>
        <v>1028.2149999999999</v>
      </c>
    </row>
    <row r="36" spans="1:9" x14ac:dyDescent="0.35">
      <c r="C36" s="7" t="s">
        <v>89</v>
      </c>
      <c r="D36" s="8">
        <f>SUMIF(I1:I33,FALSE,G1:G33)</f>
        <v>763.59499999999991</v>
      </c>
    </row>
    <row r="39" spans="1:9" x14ac:dyDescent="0.35">
      <c r="C39" s="1"/>
    </row>
    <row r="40" spans="1:9" x14ac:dyDescent="0.35">
      <c r="C40" s="1"/>
    </row>
    <row r="41" spans="1:9" x14ac:dyDescent="0.35">
      <c r="B41" t="s">
        <v>138</v>
      </c>
      <c r="C41" s="1"/>
    </row>
    <row r="42" spans="1:9" x14ac:dyDescent="0.35">
      <c r="C42" s="1"/>
    </row>
    <row r="43" spans="1:9" x14ac:dyDescent="0.35">
      <c r="C43" s="1"/>
    </row>
    <row r="44" spans="1:9" x14ac:dyDescent="0.35">
      <c r="C44" s="1"/>
    </row>
    <row r="45" spans="1:9" x14ac:dyDescent="0.35">
      <c r="B45" t="s">
        <v>139</v>
      </c>
      <c r="C45" s="1"/>
    </row>
    <row r="46" spans="1:9" x14ac:dyDescent="0.35">
      <c r="B46" t="s">
        <v>140</v>
      </c>
      <c r="C46" s="1"/>
    </row>
    <row r="47" spans="1:9" x14ac:dyDescent="0.35">
      <c r="C47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9FD41-E851-4C8A-933C-4217138DAFB9}">
  <dimension ref="A1:B8"/>
  <sheetViews>
    <sheetView workbookViewId="0">
      <selection activeCell="A17" sqref="A17"/>
    </sheetView>
  </sheetViews>
  <sheetFormatPr defaultRowHeight="14.5" x14ac:dyDescent="0.35"/>
  <cols>
    <col min="1" max="1" width="90" customWidth="1"/>
    <col min="2" max="2" width="22" customWidth="1"/>
  </cols>
  <sheetData>
    <row r="1" spans="1:2" ht="18.5" x14ac:dyDescent="0.45">
      <c r="A1" s="4" t="s">
        <v>90</v>
      </c>
    </row>
    <row r="3" spans="1:2" x14ac:dyDescent="0.35">
      <c r="A3" t="s">
        <v>91</v>
      </c>
    </row>
    <row r="4" spans="1:2" x14ac:dyDescent="0.35">
      <c r="A4" t="s">
        <v>92</v>
      </c>
    </row>
    <row r="5" spans="1:2" x14ac:dyDescent="0.35">
      <c r="A5" t="s">
        <v>93</v>
      </c>
    </row>
    <row r="8" spans="1:2" x14ac:dyDescent="0.35">
      <c r="A8" t="s">
        <v>94</v>
      </c>
      <c r="B8" s="5">
        <f>'[1]500mm CoreXY BOM'!G32</f>
        <v>1106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72B2F-F62D-4708-A4C8-7C5147B67399}">
  <dimension ref="A1:K29"/>
  <sheetViews>
    <sheetView tabSelected="1" workbookViewId="0">
      <selection activeCell="C20" sqref="C20"/>
    </sheetView>
  </sheetViews>
  <sheetFormatPr defaultRowHeight="14.5" x14ac:dyDescent="0.35"/>
  <cols>
    <col min="1" max="1" width="36" customWidth="1"/>
    <col min="2" max="2" width="20" customWidth="1"/>
    <col min="3" max="3" width="89" customWidth="1"/>
    <col min="4" max="4" width="40" customWidth="1"/>
    <col min="5" max="5" width="9.1796875" style="1"/>
    <col min="11" max="11" width="17.453125" bestFit="1" customWidth="1"/>
  </cols>
  <sheetData>
    <row r="1" spans="1:11" x14ac:dyDescent="0.35">
      <c r="A1" s="6" t="s">
        <v>95</v>
      </c>
      <c r="B1" s="6" t="s">
        <v>96</v>
      </c>
      <c r="C1" s="6" t="s">
        <v>97</v>
      </c>
      <c r="D1" s="6" t="s">
        <v>98</v>
      </c>
      <c r="E1" s="6" t="s">
        <v>99</v>
      </c>
      <c r="G1" s="6" t="s">
        <v>100</v>
      </c>
      <c r="I1" s="6" t="s">
        <v>101</v>
      </c>
      <c r="K1" s="6" t="s">
        <v>168</v>
      </c>
    </row>
    <row r="2" spans="1:11" x14ac:dyDescent="0.35">
      <c r="A2" s="21" t="s">
        <v>102</v>
      </c>
      <c r="B2" t="s">
        <v>130</v>
      </c>
      <c r="C2" s="9" t="s">
        <v>145</v>
      </c>
      <c r="D2" t="s">
        <v>103</v>
      </c>
      <c r="E2" s="1">
        <v>0</v>
      </c>
      <c r="G2" s="10">
        <f>SUM(E2:E29)</f>
        <v>599.19000000000005</v>
      </c>
      <c r="I2" s="10">
        <f>SUM(E2:E1048576)</f>
        <v>599.19000000000005</v>
      </c>
      <c r="K2" s="10">
        <f>600-I2</f>
        <v>0.80999999999994543</v>
      </c>
    </row>
    <row r="3" spans="1:11" x14ac:dyDescent="0.35">
      <c r="A3" s="29" t="s">
        <v>104</v>
      </c>
      <c r="B3" t="s">
        <v>22</v>
      </c>
      <c r="C3" s="9" t="s">
        <v>105</v>
      </c>
      <c r="D3" t="s">
        <v>106</v>
      </c>
      <c r="E3" s="1">
        <v>25.99</v>
      </c>
    </row>
    <row r="4" spans="1:11" x14ac:dyDescent="0.35">
      <c r="A4" s="30" t="s">
        <v>33</v>
      </c>
      <c r="B4" t="s">
        <v>22</v>
      </c>
      <c r="C4" s="9" t="s">
        <v>107</v>
      </c>
      <c r="D4" t="s">
        <v>108</v>
      </c>
      <c r="E4" s="1">
        <v>37.229999999999997</v>
      </c>
    </row>
    <row r="5" spans="1:11" x14ac:dyDescent="0.35">
      <c r="A5" s="30" t="s">
        <v>109</v>
      </c>
      <c r="B5" t="s">
        <v>22</v>
      </c>
      <c r="C5" s="9" t="s">
        <v>110</v>
      </c>
      <c r="E5" s="1">
        <f>83.99-16.8</f>
        <v>67.19</v>
      </c>
      <c r="I5" s="10"/>
    </row>
    <row r="6" spans="1:11" x14ac:dyDescent="0.35">
      <c r="A6" s="29" t="s">
        <v>111</v>
      </c>
      <c r="B6" t="s">
        <v>22</v>
      </c>
      <c r="C6" t="s">
        <v>112</v>
      </c>
      <c r="E6" s="1">
        <v>0</v>
      </c>
    </row>
    <row r="7" spans="1:11" x14ac:dyDescent="0.35">
      <c r="A7" s="29" t="s">
        <v>113</v>
      </c>
      <c r="B7" t="s">
        <v>22</v>
      </c>
      <c r="C7" s="20" t="s">
        <v>114</v>
      </c>
      <c r="D7" t="s">
        <v>115</v>
      </c>
      <c r="E7" s="1">
        <v>11.98</v>
      </c>
    </row>
    <row r="8" spans="1:11" x14ac:dyDescent="0.35">
      <c r="A8" s="29" t="s">
        <v>116</v>
      </c>
      <c r="B8" t="s">
        <v>22</v>
      </c>
      <c r="C8" s="20" t="s">
        <v>117</v>
      </c>
      <c r="D8" t="s">
        <v>115</v>
      </c>
      <c r="E8" s="1">
        <v>11.98</v>
      </c>
    </row>
    <row r="9" spans="1:11" x14ac:dyDescent="0.35">
      <c r="A9" s="29" t="s">
        <v>118</v>
      </c>
      <c r="B9" t="s">
        <v>22</v>
      </c>
      <c r="C9" s="20" t="s">
        <v>119</v>
      </c>
      <c r="D9" t="s">
        <v>120</v>
      </c>
      <c r="E9" s="1">
        <v>13.79</v>
      </c>
    </row>
    <row r="10" spans="1:11" x14ac:dyDescent="0.35">
      <c r="A10" s="21" t="s">
        <v>45</v>
      </c>
      <c r="B10" t="s">
        <v>121</v>
      </c>
      <c r="C10" t="s">
        <v>122</v>
      </c>
      <c r="D10" t="s">
        <v>123</v>
      </c>
      <c r="E10" s="1">
        <v>0</v>
      </c>
    </row>
    <row r="11" spans="1:11" x14ac:dyDescent="0.35">
      <c r="A11" s="29" t="s">
        <v>124</v>
      </c>
      <c r="B11" t="s">
        <v>22</v>
      </c>
      <c r="C11" s="20" t="s">
        <v>125</v>
      </c>
      <c r="D11" t="s">
        <v>115</v>
      </c>
      <c r="E11" s="1">
        <v>8.99</v>
      </c>
    </row>
    <row r="12" spans="1:11" x14ac:dyDescent="0.35">
      <c r="A12" s="29" t="s">
        <v>50</v>
      </c>
      <c r="B12" t="s">
        <v>22</v>
      </c>
      <c r="C12" s="20" t="s">
        <v>126</v>
      </c>
      <c r="D12" t="s">
        <v>127</v>
      </c>
      <c r="E12" s="1">
        <v>75</v>
      </c>
    </row>
    <row r="13" spans="1:11" x14ac:dyDescent="0.35">
      <c r="A13" s="29" t="s">
        <v>84</v>
      </c>
      <c r="B13" t="s">
        <v>22</v>
      </c>
      <c r="C13" s="20" t="s">
        <v>128</v>
      </c>
      <c r="D13" t="s">
        <v>129</v>
      </c>
      <c r="E13" s="1">
        <f>59.99-12</f>
        <v>47.99</v>
      </c>
    </row>
    <row r="14" spans="1:11" x14ac:dyDescent="0.35">
      <c r="A14" s="22" t="s">
        <v>53</v>
      </c>
      <c r="C14" s="2" t="s">
        <v>122</v>
      </c>
      <c r="D14" s="2" t="s">
        <v>129</v>
      </c>
      <c r="E14" s="18">
        <v>0</v>
      </c>
      <c r="F14" s="19"/>
      <c r="G14" s="19"/>
      <c r="H14" s="2"/>
    </row>
    <row r="15" spans="1:11" x14ac:dyDescent="0.35">
      <c r="A15" s="21" t="s">
        <v>143</v>
      </c>
      <c r="C15" t="s">
        <v>122</v>
      </c>
      <c r="D15" t="s">
        <v>144</v>
      </c>
      <c r="E15" s="1">
        <v>0</v>
      </c>
    </row>
    <row r="16" spans="1:11" x14ac:dyDescent="0.35">
      <c r="A16" s="29" t="s">
        <v>158</v>
      </c>
      <c r="B16" t="s">
        <v>169</v>
      </c>
      <c r="C16" t="s">
        <v>170</v>
      </c>
      <c r="D16" s="16" t="s">
        <v>149</v>
      </c>
      <c r="E16" s="1">
        <v>64.39</v>
      </c>
    </row>
    <row r="17" spans="1:5" x14ac:dyDescent="0.35">
      <c r="A17" s="21" t="s">
        <v>80</v>
      </c>
      <c r="C17" t="s">
        <v>122</v>
      </c>
      <c r="E17" s="1">
        <v>0</v>
      </c>
    </row>
    <row r="18" spans="1:5" x14ac:dyDescent="0.35">
      <c r="A18" s="21" t="s">
        <v>87</v>
      </c>
      <c r="C18" t="s">
        <v>122</v>
      </c>
      <c r="E18" s="1">
        <v>0</v>
      </c>
    </row>
    <row r="19" spans="1:5" x14ac:dyDescent="0.35">
      <c r="A19" s="21" t="s">
        <v>133</v>
      </c>
      <c r="C19" t="s">
        <v>122</v>
      </c>
      <c r="D19" t="s">
        <v>135</v>
      </c>
      <c r="E19" s="1">
        <v>0</v>
      </c>
    </row>
    <row r="20" spans="1:5" x14ac:dyDescent="0.35">
      <c r="A20" s="21" t="s">
        <v>137</v>
      </c>
      <c r="C20" t="s">
        <v>122</v>
      </c>
      <c r="E20" s="1">
        <v>0</v>
      </c>
    </row>
    <row r="21" spans="1:5" x14ac:dyDescent="0.35">
      <c r="A21" s="21" t="s">
        <v>147</v>
      </c>
      <c r="C21" t="s">
        <v>122</v>
      </c>
      <c r="E21" s="1">
        <v>0</v>
      </c>
    </row>
    <row r="22" spans="1:5" x14ac:dyDescent="0.35">
      <c r="A22" s="21" t="s">
        <v>146</v>
      </c>
      <c r="C22" t="s">
        <v>122</v>
      </c>
      <c r="E22" s="1">
        <v>0</v>
      </c>
    </row>
    <row r="23" spans="1:5" x14ac:dyDescent="0.35">
      <c r="A23" s="21" t="s">
        <v>148</v>
      </c>
      <c r="C23" t="s">
        <v>122</v>
      </c>
      <c r="E23" s="1">
        <v>0</v>
      </c>
    </row>
    <row r="24" spans="1:5" x14ac:dyDescent="0.35">
      <c r="A24" s="29" t="s">
        <v>150</v>
      </c>
      <c r="C24" t="s">
        <v>155</v>
      </c>
      <c r="D24" t="s">
        <v>154</v>
      </c>
      <c r="E24" s="1">
        <v>129.34</v>
      </c>
    </row>
    <row r="25" spans="1:5" x14ac:dyDescent="0.35">
      <c r="A25" s="29" t="s">
        <v>152</v>
      </c>
      <c r="C25" s="9" t="s">
        <v>151</v>
      </c>
      <c r="D25" t="s">
        <v>153</v>
      </c>
      <c r="E25" s="1">
        <v>19.98</v>
      </c>
    </row>
    <row r="26" spans="1:5" x14ac:dyDescent="0.35">
      <c r="A26" s="29" t="s">
        <v>159</v>
      </c>
      <c r="C26" s="9" t="s">
        <v>156</v>
      </c>
      <c r="D26" t="s">
        <v>157</v>
      </c>
      <c r="E26" s="1">
        <v>19.37</v>
      </c>
    </row>
    <row r="27" spans="1:5" x14ac:dyDescent="0.35">
      <c r="A27" s="29" t="s">
        <v>160</v>
      </c>
      <c r="C27" s="9" t="s">
        <v>161</v>
      </c>
      <c r="D27" t="s">
        <v>164</v>
      </c>
      <c r="E27" s="1">
        <v>25.99</v>
      </c>
    </row>
    <row r="28" spans="1:5" x14ac:dyDescent="0.35">
      <c r="A28" s="29" t="s">
        <v>162</v>
      </c>
      <c r="C28" s="9" t="s">
        <v>163</v>
      </c>
      <c r="D28" t="s">
        <v>164</v>
      </c>
      <c r="E28" s="1">
        <v>28</v>
      </c>
    </row>
    <row r="29" spans="1:5" x14ac:dyDescent="0.35">
      <c r="A29" s="29" t="s">
        <v>165</v>
      </c>
      <c r="C29" s="9" t="s">
        <v>166</v>
      </c>
      <c r="D29" t="s">
        <v>167</v>
      </c>
      <c r="E29" s="1">
        <v>11.98</v>
      </c>
    </row>
  </sheetData>
  <hyperlinks>
    <hyperlink ref="C4" r:id="rId1" xr:uid="{A09AFB03-067A-4A30-BFD0-B9F4C71F1EC8}"/>
    <hyperlink ref="C7" r:id="rId2" xr:uid="{FF54A5C9-0D0F-4241-8FEA-4E0CFC591DBA}"/>
    <hyperlink ref="C8" r:id="rId3" xr:uid="{BD3B3D69-F46B-4E65-88A0-17FA308E032D}"/>
    <hyperlink ref="C9" r:id="rId4" xr:uid="{2B428779-13EF-441A-819F-E781568DDAE9}"/>
    <hyperlink ref="C11" r:id="rId5" xr:uid="{8ED99FD3-C0A7-4426-A654-082C76955196}"/>
    <hyperlink ref="C12" r:id="rId6" xr:uid="{75401668-7D04-4BD8-9685-E89DB8BDC886}"/>
    <hyperlink ref="C3" r:id="rId7" xr:uid="{6E179E62-9154-49C5-B3F3-E401A4076022}"/>
    <hyperlink ref="C19" r:id="rId8" display="https://a.co/d/08ZHIPNN" xr:uid="{CB8B968A-43F6-437F-94A0-449FD5F78548}"/>
    <hyperlink ref="C13" r:id="rId9" xr:uid="{AA0D0FCC-9D3B-41AA-B0D6-3D94A655D9F4}"/>
    <hyperlink ref="C5" r:id="rId10" xr:uid="{1C622F2B-4902-43D7-BA47-45456B6C557D}"/>
    <hyperlink ref="C15" r:id="rId11" display="https://a.co/d/07BO5tlY" xr:uid="{BF5359C7-ED94-4F5D-BEF9-EE750066E1D4}"/>
    <hyperlink ref="C2" r:id="rId12" xr:uid="{AAD52DAD-8850-44C6-B9A0-5DB07148B706}"/>
    <hyperlink ref="C26" r:id="rId13" xr:uid="{F9A925B0-FF89-4CF2-8655-27785393F014}"/>
    <hyperlink ref="C27" r:id="rId14" xr:uid="{EF6F1D49-4616-4667-A105-C4B3A0E4A750}"/>
    <hyperlink ref="C28" r:id="rId15" xr:uid="{48893423-5A73-4CFC-85A5-71D354AAEE58}"/>
    <hyperlink ref="C29" r:id="rId16" xr:uid="{3412FBEF-D4C7-4CC1-A4E3-8F735276E5B6}"/>
  </hyperlinks>
  <pageMargins left="0.7" right="0.7" top="0.75" bottom="0.75" header="0.3" footer="0.3"/>
  <pageSetup orientation="portrait" r:id="rId1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B329A72012DB224784A37794E773BBF0" ma:contentTypeVersion="15" ma:contentTypeDescription="新建文档。" ma:contentTypeScope="" ma:versionID="a3433a4f684d5df19d72773ee870b1c3">
  <xsd:schema xmlns:xsd="http://www.w3.org/2001/XMLSchema" xmlns:xs="http://www.w3.org/2001/XMLSchema" xmlns:p="http://schemas.microsoft.com/office/2006/metadata/properties" xmlns:ns3="67d7db89-b930-4e23-8d7f-7725dec5759b" xmlns:ns4="2cd5442c-8e7d-4c21-ad61-c0bdfdeb4f95" targetNamespace="http://schemas.microsoft.com/office/2006/metadata/properties" ma:root="true" ma:fieldsID="4c27b82cde61f2916bed2efdd962c189" ns3:_="" ns4:_="">
    <xsd:import namespace="67d7db89-b930-4e23-8d7f-7725dec5759b"/>
    <xsd:import namespace="2cd5442c-8e7d-4c21-ad61-c0bdfdeb4f9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d7db89-b930-4e23-8d7f-7725dec575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5442c-8e7d-4c21-ad61-c0bdfdeb4f9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共享提示哈希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7d7db89-b930-4e23-8d7f-7725dec5759b" xsi:nil="true"/>
  </documentManagement>
</p:properties>
</file>

<file path=customXml/itemProps1.xml><?xml version="1.0" encoding="utf-8"?>
<ds:datastoreItem xmlns:ds="http://schemas.openxmlformats.org/officeDocument/2006/customXml" ds:itemID="{0E115464-D160-4E7F-B2A5-FE0B1F0047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d7db89-b930-4e23-8d7f-7725dec5759b"/>
    <ds:schemaRef ds:uri="2cd5442c-8e7d-4c21-ad61-c0bdfdeb4f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B7B09D-1C29-4C65-9BB7-BC6FDAD37E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834333-7817-4B7A-B30A-4E1D3C05A357}">
  <ds:schemaRefs>
    <ds:schemaRef ds:uri="http://purl.org/dc/dcmitype/"/>
    <ds:schemaRef ds:uri="67d7db89-b930-4e23-8d7f-7725dec5759b"/>
    <ds:schemaRef ds:uri="http://purl.org/dc/elements/1.1/"/>
    <ds:schemaRef ds:uri="http://purl.org/dc/terms/"/>
    <ds:schemaRef ds:uri="2cd5442c-8e7d-4c21-ad61-c0bdfdeb4f95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420mm BedSlinger BOM</vt:lpstr>
      <vt:lpstr>Summary</vt:lpstr>
      <vt:lpstr>Sourcing Links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Koopmann Erik W</dc:creator>
  <cp:keywords/>
  <dc:description/>
  <cp:lastModifiedBy>Koopmann Erik W</cp:lastModifiedBy>
  <cp:revision/>
  <dcterms:created xsi:type="dcterms:W3CDTF">2026-01-22T20:29:48Z</dcterms:created>
  <dcterms:modified xsi:type="dcterms:W3CDTF">2026-04-30T23:38:08Z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0x010100B329A72012DB224784A37794E773BBF0</vt:lpwstr>
  </property>
</Properties>
</file>